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nent Analysis" sheetId="1" state="visible" r:id="rId1"/>
    <sheet name="Instructions" sheetId="2" state="visible" r:id="rId2"/>
    <sheet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000000"/>
    </font>
    <font>
      <b val="1"/>
      <color rgb="00FFFFFF"/>
    </font>
    <font>
      <b val="1"/>
    </font>
    <font>
      <b val="1"/>
      <sz val="12"/>
    </font>
    <font>
      <b val="1"/>
      <sz val="14"/>
    </font>
    <font>
      <b val="1"/>
      <color rgb="00FF0000"/>
      <sz val="14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2" customWidth="1" min="6" max="6"/>
    <col width="35" customWidth="1" min="7" max="7"/>
  </cols>
  <sheetData>
    <row r="1">
      <c r="A1" s="1" t="inlineStr">
        <is>
          <t>OPPONENT DIFFICULTY CLASSIFICATION SYSTEM</t>
        </is>
      </c>
    </row>
    <row r="3">
      <c r="A3" s="2" t="inlineStr">
        <is>
          <t>BASIC INFORMATION</t>
        </is>
      </c>
    </row>
    <row r="4">
      <c r="A4" t="inlineStr">
        <is>
          <t>Opponent Name:</t>
        </is>
      </c>
      <c r="B4" t="inlineStr"/>
      <c r="C4" t="inlineStr">
        <is>
          <t>Match Date:</t>
        </is>
      </c>
      <c r="D4" t="inlineStr"/>
    </row>
    <row r="5">
      <c r="A5" t="inlineStr">
        <is>
          <t>Competition:</t>
        </is>
      </c>
      <c r="B5" t="inlineStr"/>
      <c r="C5" t="inlineStr">
        <is>
          <t>Venue:</t>
        </is>
      </c>
      <c r="D5" t="inlineStr"/>
    </row>
    <row r="7">
      <c r="A7" s="2" t="inlineStr">
        <is>
          <t>SCORING FACTORS</t>
        </is>
      </c>
    </row>
    <row r="8">
      <c r="A8" s="3" t="inlineStr">
        <is>
          <t>Factor</t>
        </is>
      </c>
      <c r="B8" s="3" t="inlineStr">
        <is>
          <t>Raw Data</t>
        </is>
      </c>
      <c r="C8" s="3" t="inlineStr">
        <is>
          <t>Score (0-1)</t>
        </is>
      </c>
      <c r="D8" s="3" t="inlineStr">
        <is>
          <t>Weight (%)</t>
        </is>
      </c>
      <c r="E8" s="3" t="inlineStr">
        <is>
          <t>Weighted Points</t>
        </is>
      </c>
      <c r="F8" s="3" t="inlineStr">
        <is>
          <t>Max Points</t>
        </is>
      </c>
    </row>
    <row r="9">
      <c r="A9" s="4" t="inlineStr">
        <is>
          <t>1. League Position</t>
        </is>
      </c>
      <c r="B9" s="5" t="inlineStr"/>
      <c r="C9" s="6">
        <f>IF(B9="","",1-(B9-1)/19)</f>
        <v/>
      </c>
      <c r="D9" s="5" t="inlineStr">
        <is>
          <t>25%</t>
        </is>
      </c>
      <c r="E9" s="6">
        <f>C9*0.25</f>
        <v/>
      </c>
      <c r="F9" s="5" t="inlineStr">
        <is>
          <t>25</t>
        </is>
      </c>
      <c r="G9" t="inlineStr">
        <is>
          <t>Enter league position (1-20)</t>
        </is>
      </c>
    </row>
    <row r="10">
      <c r="A10" s="4" t="inlineStr">
        <is>
          <t>2. Recent Form (Points)</t>
        </is>
      </c>
      <c r="B10" s="5" t="inlineStr"/>
      <c r="C10" s="6">
        <f>IF(B10="","",B10/15)</f>
        <v/>
      </c>
      <c r="D10" s="5" t="inlineStr">
        <is>
          <t>20%</t>
        </is>
      </c>
      <c r="E10" s="6">
        <f>C10*0.20</f>
        <v/>
      </c>
      <c r="F10" s="5" t="inlineStr">
        <is>
          <t>20</t>
        </is>
      </c>
      <c r="G10" t="inlineStr">
        <is>
          <t>Enter points from last 5 games (0-15)</t>
        </is>
      </c>
    </row>
    <row r="11">
      <c r="A11" s="4" t="inlineStr">
        <is>
          <t>3. Home/Away Advantage</t>
        </is>
      </c>
      <c r="B11" s="5" t="inlineStr"/>
      <c r="C11" s="6">
        <f>IF(B11="Home",1,IF(B11="Away",0.8,IF(B11="Neutral",0.9,"")))</f>
        <v/>
      </c>
      <c r="D11" s="5" t="inlineStr">
        <is>
          <t>15%</t>
        </is>
      </c>
      <c r="E11" s="6">
        <f>C11*0.15</f>
        <v/>
      </c>
      <c r="F11" s="5" t="inlineStr">
        <is>
          <t>15</t>
        </is>
      </c>
      <c r="G11" t="inlineStr">
        <is>
          <t>Select: Home, Away, or Neutral</t>
        </is>
      </c>
    </row>
    <row r="12">
      <c r="A12" s="4" t="inlineStr">
        <is>
          <t>4. Head-to-Head Record</t>
        </is>
      </c>
      <c r="B12" s="5" t="inlineStr"/>
      <c r="C12" s="6" t="inlineStr"/>
      <c r="D12" s="5" t="inlineStr">
        <is>
          <t>15%</t>
        </is>
      </c>
      <c r="E12" s="6">
        <f>C12*0.15</f>
        <v/>
      </c>
      <c r="F12" s="5" t="inlineStr">
        <is>
          <t>15</t>
        </is>
      </c>
      <c r="G12" t="inlineStr">
        <is>
          <t>Enter H2H score manually (0-1)</t>
        </is>
      </c>
    </row>
    <row r="13">
      <c r="A13" s="4" t="inlineStr">
        <is>
          <t>5. Key Players Available</t>
        </is>
      </c>
      <c r="B13" s="5" t="inlineStr"/>
      <c r="C13" s="6">
        <f>IF(B13="","",B13/11)</f>
        <v/>
      </c>
      <c r="D13" s="5" t="inlineStr">
        <is>
          <t>10%</t>
        </is>
      </c>
      <c r="E13" s="6">
        <f>C13*0.10</f>
        <v/>
      </c>
      <c r="F13" s="5" t="inlineStr">
        <is>
          <t>10</t>
        </is>
      </c>
      <c r="G13" t="inlineStr">
        <is>
          <t>Enter number of key players (0-11)</t>
        </is>
      </c>
    </row>
    <row r="14">
      <c r="A14" s="4" t="inlineStr">
        <is>
          <t>6. Tactical Complexity</t>
        </is>
      </c>
      <c r="B14" s="5" t="inlineStr"/>
      <c r="C14" s="6" t="inlineStr"/>
      <c r="D14" s="5" t="inlineStr">
        <is>
          <t>10%</t>
        </is>
      </c>
      <c r="E14" s="6">
        <f>C14*0.10</f>
        <v/>
      </c>
      <c r="F14" s="5" t="inlineStr">
        <is>
          <t>10</t>
        </is>
      </c>
      <c r="G14" t="inlineStr">
        <is>
          <t>Enter tactical score manually (0-1)</t>
        </is>
      </c>
    </row>
    <row r="15">
      <c r="A15" s="4" t="inlineStr">
        <is>
          <t>7. Physical Intensity</t>
        </is>
      </c>
      <c r="B15" s="5" t="inlineStr"/>
      <c r="C15" s="6" t="inlineStr"/>
      <c r="D15" s="5" t="inlineStr">
        <is>
          <t>5%</t>
        </is>
      </c>
      <c r="E15" s="6">
        <f>C15*0.05</f>
        <v/>
      </c>
      <c r="F15" s="5" t="inlineStr">
        <is>
          <t>5</t>
        </is>
      </c>
      <c r="G15" t="inlineStr">
        <is>
          <t>Enter physical score manually (0-1)</t>
        </is>
      </c>
    </row>
    <row r="16">
      <c r="A16" s="7" t="inlineStr">
        <is>
          <t>TOTAL SCORE</t>
        </is>
      </c>
      <c r="E16" s="7">
        <f>SUM(E9:E15)</f>
        <v/>
      </c>
      <c r="F16" s="7" t="inlineStr">
        <is>
          <t>100</t>
        </is>
      </c>
    </row>
    <row r="18">
      <c r="A18" s="2" t="inlineStr">
        <is>
          <t>FINAL DIFFICULTY RATING</t>
        </is>
      </c>
    </row>
    <row r="19">
      <c r="A19" t="inlineStr">
        <is>
          <t>Points (0-100):</t>
        </is>
      </c>
      <c r="B19" s="8">
        <f>E16</f>
        <v/>
      </c>
    </row>
    <row r="20">
      <c r="A20" t="inlineStr">
        <is>
          <t>Rating (1-5):</t>
        </is>
      </c>
      <c r="B20" s="9">
        <f>IF(E16&gt;=90,5,IF(E16&gt;=80,4+(E16-80)/10,IF(E16&gt;=60,3+(E16-60)/20,IF(E16&gt;=40,2+(E16-40)/20,1+(E16-20)/20))))</f>
        <v/>
      </c>
    </row>
    <row r="21">
      <c r="A21" t="inlineStr">
        <is>
          <t>Classification:</t>
        </is>
      </c>
      <c r="B21" s="9">
        <f>IF(E16&gt;=90,"EXTREMELY DIFFICULT",IF(E16&gt;=80,"DIFFICULT",IF(E16&gt;=60,"MODERATE",IF(E16&gt;=40,"EASY","VERY EASY"))))</f>
        <v/>
      </c>
    </row>
  </sheetData>
  <mergeCells count="4">
    <mergeCell ref="A18:D18"/>
    <mergeCell ref="A3:D3"/>
    <mergeCell ref="A1:M1"/>
    <mergeCell ref="A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2" customWidth="1" min="6" max="6"/>
    <col width="35" customWidth="1" min="7" max="7"/>
  </cols>
  <sheetData>
    <row r="1">
      <c r="A1" s="7" t="inlineStr">
        <is>
          <t>OPPONENT DIFFICULTY CLASSIFICATION SYSTEM</t>
        </is>
      </c>
    </row>
    <row r="2">
      <c r="A2" t="inlineStr"/>
    </row>
    <row r="3">
      <c r="A3" s="7" t="inlineStr">
        <is>
          <t>OVERVIEW</t>
        </is>
      </c>
    </row>
    <row r="4">
      <c r="A4" t="inlineStr">
        <is>
          <t>This spreadsheet calculates opponent difficulty on a scale of 1.0-5.0</t>
        </is>
      </c>
    </row>
    <row r="5">
      <c r="A5" t="inlineStr">
        <is>
          <t>based on 7 weighted factors with scientific backing.</t>
        </is>
      </c>
    </row>
    <row r="6">
      <c r="A6" t="inlineStr"/>
    </row>
    <row r="7">
      <c r="A7" s="7" t="inlineStr">
        <is>
          <t>HOW TO USE</t>
        </is>
      </c>
    </row>
    <row r="8">
      <c r="A8" t="inlineStr">
        <is>
          <t>1. Fill in basic information (opponent name, date, venue)</t>
        </is>
      </c>
    </row>
    <row r="9">
      <c r="A9" t="inlineStr">
        <is>
          <t>2. Enter raw data for each scoring factor</t>
        </is>
      </c>
    </row>
    <row r="10">
      <c r="A10" t="inlineStr">
        <is>
          <t>3. The spreadsheet automatically calculates scores and final rating</t>
        </is>
      </c>
    </row>
    <row r="11">
      <c r="A11" t="inlineStr"/>
    </row>
    <row r="12">
      <c r="A12" s="7" t="inlineStr">
        <is>
          <t>SCORING FACTORS GUIDE</t>
        </is>
      </c>
    </row>
    <row r="13">
      <c r="A13" t="inlineStr"/>
    </row>
    <row r="14">
      <c r="A14" t="inlineStr">
        <is>
          <t>1. LEAGUE POSITION (25% weight)</t>
        </is>
      </c>
    </row>
    <row r="15">
      <c r="A15" t="inlineStr">
        <is>
          <t xml:space="preserve">   - Enter current league position (1-20)</t>
        </is>
      </c>
    </row>
    <row r="16">
      <c r="A16" t="inlineStr">
        <is>
          <t xml:space="preserve">   - Formula: 1-(position-1)/19</t>
        </is>
      </c>
    </row>
    <row r="17">
      <c r="A17" t="inlineStr">
        <is>
          <t xml:space="preserve">   - Example: 1st place = 1.0, 10th place = 0.53</t>
        </is>
      </c>
    </row>
    <row r="18">
      <c r="A18" t="inlineStr"/>
    </row>
    <row r="19">
      <c r="A19" t="inlineStr">
        <is>
          <t>2. RECENT FORM (20% weight)</t>
        </is>
      </c>
    </row>
    <row r="20">
      <c r="A20" t="inlineStr">
        <is>
          <t xml:space="preserve">   - Count points from last 5 matches</t>
        </is>
      </c>
    </row>
    <row r="21">
      <c r="A21" t="inlineStr">
        <is>
          <t xml:space="preserve">   - Win = 3 points, Draw = 1 point, Loss = 0 points</t>
        </is>
      </c>
    </row>
    <row r="22">
      <c r="A22" t="inlineStr">
        <is>
          <t xml:space="preserve">   - Maximum possible = 15 points</t>
        </is>
      </c>
    </row>
    <row r="23">
      <c r="A23" t="inlineStr">
        <is>
          <t xml:space="preserve">   - Example: 3W-1D-1L = 10 points</t>
        </is>
      </c>
    </row>
    <row r="24">
      <c r="A24" t="inlineStr"/>
    </row>
    <row r="25">
      <c r="A25" t="inlineStr">
        <is>
          <t>3. HOME/AWAY ADVANTAGE (15% weight)</t>
        </is>
      </c>
    </row>
    <row r="26">
      <c r="A26" t="inlineStr">
        <is>
          <t xml:space="preserve">   - Home = 1.0, Away = 0.8, Neutral = 0.9</t>
        </is>
      </c>
    </row>
    <row r="27">
      <c r="A27" t="inlineStr">
        <is>
          <t xml:space="preserve">   - Automatically calculated based on venue selection</t>
        </is>
      </c>
    </row>
    <row r="28">
      <c r="A28" t="inlineStr"/>
    </row>
    <row r="29">
      <c r="A29" t="inlineStr">
        <is>
          <t>4. HEAD-TO-HEAD RECORD (15% weight)</t>
        </is>
      </c>
    </row>
    <row r="30">
      <c r="A30" t="inlineStr">
        <is>
          <t xml:space="preserve">   - Manual entry required (0-1 scale)</t>
        </is>
      </c>
    </row>
    <row r="31">
      <c r="A31" t="inlineStr">
        <is>
          <t xml:space="preserve">   - Consider last 5-10 encounters</t>
        </is>
      </c>
    </row>
    <row r="32">
      <c r="A32" t="inlineStr">
        <is>
          <t xml:space="preserve">   - 0.0 = Very poor record, 1.0 = Excellent record</t>
        </is>
      </c>
    </row>
    <row r="33">
      <c r="A33" t="inlineStr"/>
    </row>
    <row r="34">
      <c r="A34" t="inlineStr">
        <is>
          <t>5. KEY PLAYERS AVAILABLE (10% weight)</t>
        </is>
      </c>
    </row>
    <row r="35">
      <c r="A35" t="inlineStr">
        <is>
          <t xml:space="preserve">   - Enter number of key players available (0-11)</t>
        </is>
      </c>
    </row>
    <row r="36">
      <c r="A36" t="inlineStr">
        <is>
          <t xml:space="preserve">   - Formula: available_players/11</t>
        </is>
      </c>
    </row>
    <row r="37">
      <c r="A37" t="inlineStr">
        <is>
          <t xml:space="preserve">   - Example: 9 players available = 0.82</t>
        </is>
      </c>
    </row>
    <row r="38">
      <c r="A38" t="inlineStr"/>
    </row>
    <row r="39">
      <c r="A39" t="inlineStr">
        <is>
          <t>6. TACTICAL COMPLEXITY (10% weight)</t>
        </is>
      </c>
    </row>
    <row r="40">
      <c r="A40" t="inlineStr">
        <is>
          <t xml:space="preserve">   - Manual entry required (0-1 scale)</t>
        </is>
      </c>
    </row>
    <row r="41">
      <c r="A41" t="inlineStr">
        <is>
          <t xml:space="preserve">   - 0.2 = Very Low, 0.4 = Low, 0.6 = Medium</t>
        </is>
      </c>
    </row>
    <row r="42">
      <c r="A42" t="inlineStr">
        <is>
          <t xml:space="preserve">   - 0.8 = High, 1.0 = Very High</t>
        </is>
      </c>
    </row>
    <row r="43">
      <c r="A43" t="inlineStr"/>
    </row>
    <row r="44">
      <c r="A44" t="inlineStr">
        <is>
          <t>7. PHYSICAL INTENSITY (5% weight)</t>
        </is>
      </c>
    </row>
    <row r="45">
      <c r="A45" t="inlineStr">
        <is>
          <t xml:space="preserve">   - Manual entry required (0-1 scale)</t>
        </is>
      </c>
    </row>
    <row r="46">
      <c r="A46" t="inlineStr">
        <is>
          <t xml:space="preserve">   - 0.2 = Very Low, 0.4 = Low, 0.6 = Medium</t>
        </is>
      </c>
    </row>
    <row r="47">
      <c r="A47" t="inlineStr">
        <is>
          <t xml:space="preserve">   - 0.8 = High, 1.0 = Very High</t>
        </is>
      </c>
    </row>
    <row r="48">
      <c r="A48" t="inlineStr"/>
    </row>
    <row r="49">
      <c r="A49" s="7" t="inlineStr">
        <is>
          <t>FINAL CLASSIFICATION SCALE</t>
        </is>
      </c>
    </row>
    <row r="50">
      <c r="A50" t="inlineStr">
        <is>
          <t>90+ points = 5.0 (EXTREMELY DIFFICULT)</t>
        </is>
      </c>
    </row>
    <row r="51">
      <c r="A51" t="inlineStr">
        <is>
          <t>80-89 points = 4.0-4.9 (DIFFICULT)</t>
        </is>
      </c>
    </row>
    <row r="52">
      <c r="A52" t="inlineStr">
        <is>
          <t>60-79 points = 3.0-3.9 (MODERATE)</t>
        </is>
      </c>
    </row>
    <row r="53">
      <c r="A53" t="inlineStr">
        <is>
          <t>40-59 points = 2.0-2.9 (EASY)</t>
        </is>
      </c>
    </row>
    <row r="54">
      <c r="A54" t="inlineStr">
        <is>
          <t>&lt;40 points = 1.0-1.9 (VERY EASY)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2" customWidth="1" min="6" max="6"/>
    <col width="35" customWidth="1" min="7" max="7"/>
  </cols>
  <sheetData>
    <row r="1">
      <c r="A1" s="10" t="inlineStr">
        <is>
          <t>EXAMPLE 1: Real Madrid (Away)</t>
        </is>
      </c>
      <c r="B1" s="10" t="inlineStr"/>
      <c r="C1" s="10" t="inlineStr"/>
      <c r="D1" s="10" t="inlineStr"/>
      <c r="E1" s="10" t="inlineStr"/>
      <c r="F1" s="10" t="inlineStr"/>
    </row>
    <row r="2">
      <c r="A2" s="11" t="inlineStr">
        <is>
          <t>Factor</t>
        </is>
      </c>
      <c r="B2" s="11" t="inlineStr">
        <is>
          <t>Raw Data</t>
        </is>
      </c>
      <c r="C2" s="11" t="inlineStr">
        <is>
          <t>Score</t>
        </is>
      </c>
      <c r="D2" s="11" t="inlineStr">
        <is>
          <t>Weight</t>
        </is>
      </c>
      <c r="E2" s="11" t="inlineStr">
        <is>
          <t>Points</t>
        </is>
      </c>
      <c r="F2" s="11" t="inlineStr">
        <is>
          <t>Calculation</t>
        </is>
      </c>
    </row>
    <row r="3">
      <c r="A3" t="inlineStr">
        <is>
          <t>League Position</t>
        </is>
      </c>
      <c r="B3" t="inlineStr">
        <is>
          <t>1</t>
        </is>
      </c>
      <c r="C3" t="inlineStr">
        <is>
          <t>1.00</t>
        </is>
      </c>
      <c r="D3" t="inlineStr">
        <is>
          <t>25%</t>
        </is>
      </c>
      <c r="E3" t="inlineStr">
        <is>
          <t>25.0</t>
        </is>
      </c>
      <c r="F3" t="inlineStr">
        <is>
          <t>1st place = maximum score</t>
        </is>
      </c>
    </row>
    <row r="4">
      <c r="A4" t="inlineStr">
        <is>
          <t>Recent Form</t>
        </is>
      </c>
      <c r="B4" t="inlineStr">
        <is>
          <t>13</t>
        </is>
      </c>
      <c r="C4" t="inlineStr">
        <is>
          <t>0.87</t>
        </is>
      </c>
      <c r="D4" t="inlineStr">
        <is>
          <t>20%</t>
        </is>
      </c>
      <c r="E4" t="inlineStr">
        <is>
          <t>17.4</t>
        </is>
      </c>
      <c r="F4" t="inlineStr">
        <is>
          <t>4W-1D = 13 points</t>
        </is>
      </c>
    </row>
    <row r="5">
      <c r="A5" t="inlineStr">
        <is>
          <t>Home/Away</t>
        </is>
      </c>
      <c r="B5" t="inlineStr">
        <is>
          <t>Away</t>
        </is>
      </c>
      <c r="C5" t="inlineStr">
        <is>
          <t>0.80</t>
        </is>
      </c>
      <c r="D5" t="inlineStr">
        <is>
          <t>15%</t>
        </is>
      </c>
      <c r="E5" t="inlineStr">
        <is>
          <t>12.0</t>
        </is>
      </c>
      <c r="F5" t="inlineStr">
        <is>
          <t>Away match penalty</t>
        </is>
      </c>
    </row>
    <row r="6">
      <c r="A6" t="inlineStr">
        <is>
          <t>Head-to-Head</t>
        </is>
      </c>
      <c r="B6" t="inlineStr">
        <is>
          <t>Poor</t>
        </is>
      </c>
      <c r="C6" t="inlineStr">
        <is>
          <t>0.40</t>
        </is>
      </c>
      <c r="D6" t="inlineStr">
        <is>
          <t>15%</t>
        </is>
      </c>
      <c r="E6" t="inlineStr">
        <is>
          <t>6.0</t>
        </is>
      </c>
      <c r="F6" t="inlineStr">
        <is>
          <t>Historical disadvantage</t>
        </is>
      </c>
    </row>
    <row r="7">
      <c r="A7" t="inlineStr">
        <is>
          <t>Key Players</t>
        </is>
      </c>
      <c r="B7" t="inlineStr">
        <is>
          <t>10</t>
        </is>
      </c>
      <c r="C7" t="inlineStr">
        <is>
          <t>0.91</t>
        </is>
      </c>
      <c r="D7" t="inlineStr">
        <is>
          <t>10%</t>
        </is>
      </c>
      <c r="E7" t="inlineStr">
        <is>
          <t>9.1</t>
        </is>
      </c>
      <c r="F7" t="inlineStr">
        <is>
          <t>10 of 11 key players</t>
        </is>
      </c>
    </row>
    <row r="8">
      <c r="A8" t="inlineStr">
        <is>
          <t>Tactical Complexity</t>
        </is>
      </c>
      <c r="B8" t="inlineStr">
        <is>
          <t>Very High</t>
        </is>
      </c>
      <c r="C8" t="inlineStr">
        <is>
          <t>1.00</t>
        </is>
      </c>
      <c r="D8" t="inlineStr">
        <is>
          <t>10%</t>
        </is>
      </c>
      <c r="E8" t="inlineStr">
        <is>
          <t>10.0</t>
        </is>
      </c>
      <c r="F8" t="inlineStr">
        <is>
          <t>Complex tactical system</t>
        </is>
      </c>
    </row>
    <row r="9">
      <c r="A9" t="inlineStr">
        <is>
          <t>Physical Intensity</t>
        </is>
      </c>
      <c r="B9" t="inlineStr">
        <is>
          <t>High</t>
        </is>
      </c>
      <c r="C9" t="inlineStr">
        <is>
          <t>0.80</t>
        </is>
      </c>
      <c r="D9" t="inlineStr">
        <is>
          <t>5%</t>
        </is>
      </c>
      <c r="E9" t="inlineStr">
        <is>
          <t>4.0</t>
        </is>
      </c>
      <c r="F9" t="inlineStr">
        <is>
          <t>High pressing team</t>
        </is>
      </c>
    </row>
    <row r="10">
      <c r="A10" t="inlineStr"/>
      <c r="B10" t="inlineStr"/>
      <c r="C10" t="inlineStr"/>
      <c r="D10" t="inlineStr">
        <is>
          <t>TOTAL:</t>
        </is>
      </c>
      <c r="E10" t="inlineStr">
        <is>
          <t>83.5</t>
        </is>
      </c>
      <c r="F10" t="inlineStr"/>
    </row>
    <row r="11">
      <c r="A11" t="inlineStr"/>
      <c r="B11" t="inlineStr"/>
      <c r="C11" t="inlineStr"/>
      <c r="D11" t="inlineStr">
        <is>
          <t>RATING:</t>
        </is>
      </c>
      <c r="E11" t="inlineStr">
        <is>
          <t>4.4/5</t>
        </is>
      </c>
      <c r="F11" t="inlineStr">
        <is>
          <t>DIFFICULT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s="10" t="inlineStr">
        <is>
          <t>EXAMPLE 2: Lower League Team (Home)</t>
        </is>
      </c>
      <c r="B13" s="10" t="inlineStr"/>
      <c r="C13" s="10" t="inlineStr"/>
      <c r="D13" s="10" t="inlineStr"/>
      <c r="E13" s="10" t="inlineStr"/>
      <c r="F13" s="10" t="inlineStr"/>
    </row>
    <row r="14">
      <c r="A14" s="11" t="inlineStr">
        <is>
          <t>Factor</t>
        </is>
      </c>
      <c r="B14" s="11" t="inlineStr">
        <is>
          <t>Raw Data</t>
        </is>
      </c>
      <c r="C14" s="11" t="inlineStr">
        <is>
          <t>Score</t>
        </is>
      </c>
      <c r="D14" s="11" t="inlineStr">
        <is>
          <t>Weight</t>
        </is>
      </c>
      <c r="E14" s="11" t="inlineStr">
        <is>
          <t>Points</t>
        </is>
      </c>
      <c r="F14" s="11" t="inlineStr">
        <is>
          <t>Calculation</t>
        </is>
      </c>
    </row>
    <row r="15">
      <c r="A15" t="inlineStr">
        <is>
          <t>League Position</t>
        </is>
      </c>
      <c r="B15" t="inlineStr">
        <is>
          <t>18</t>
        </is>
      </c>
      <c r="C15" t="inlineStr">
        <is>
          <t>0.11</t>
        </is>
      </c>
      <c r="D15" t="inlineStr">
        <is>
          <t>25%</t>
        </is>
      </c>
      <c r="E15" t="inlineStr">
        <is>
          <t>2.8</t>
        </is>
      </c>
      <c r="F15" t="inlineStr">
        <is>
          <t>18th place = low score</t>
        </is>
      </c>
    </row>
    <row r="16">
      <c r="A16" t="inlineStr">
        <is>
          <t>Recent Form</t>
        </is>
      </c>
      <c r="B16" t="inlineStr">
        <is>
          <t>4</t>
        </is>
      </c>
      <c r="C16" t="inlineStr">
        <is>
          <t>0.27</t>
        </is>
      </c>
      <c r="D16" t="inlineStr">
        <is>
          <t>20%</t>
        </is>
      </c>
      <c r="E16" t="inlineStr">
        <is>
          <t>5.4</t>
        </is>
      </c>
      <c r="F16" t="inlineStr">
        <is>
          <t>1W-1D-3L = 4 points</t>
        </is>
      </c>
    </row>
    <row r="17">
      <c r="A17" t="inlineStr">
        <is>
          <t>Home/Away</t>
        </is>
      </c>
      <c r="B17" t="inlineStr">
        <is>
          <t>Home</t>
        </is>
      </c>
      <c r="C17" t="inlineStr">
        <is>
          <t>1.00</t>
        </is>
      </c>
      <c r="D17" t="inlineStr">
        <is>
          <t>15%</t>
        </is>
      </c>
      <c r="E17" t="inlineStr">
        <is>
          <t>15.0</t>
        </is>
      </c>
      <c r="F17" t="inlineStr">
        <is>
          <t>Home advantage</t>
        </is>
      </c>
    </row>
    <row r="18">
      <c r="A18" t="inlineStr">
        <is>
          <t>Head-to-Head</t>
        </is>
      </c>
      <c r="B18" t="inlineStr">
        <is>
          <t>Good</t>
        </is>
      </c>
      <c r="C18" t="inlineStr">
        <is>
          <t>0.70</t>
        </is>
      </c>
      <c r="D18" t="inlineStr">
        <is>
          <t>15%</t>
        </is>
      </c>
      <c r="E18" t="inlineStr">
        <is>
          <t>10.5</t>
        </is>
      </c>
      <c r="F18" t="inlineStr">
        <is>
          <t>Historical advantage</t>
        </is>
      </c>
    </row>
    <row r="19">
      <c r="A19" t="inlineStr">
        <is>
          <t>Key Players</t>
        </is>
      </c>
      <c r="B19" t="inlineStr">
        <is>
          <t>8</t>
        </is>
      </c>
      <c r="C19" t="inlineStr">
        <is>
          <t>0.73</t>
        </is>
      </c>
      <c r="D19" t="inlineStr">
        <is>
          <t>10%</t>
        </is>
      </c>
      <c r="E19" t="inlineStr">
        <is>
          <t>7.3</t>
        </is>
      </c>
      <c r="F19" t="inlineStr">
        <is>
          <t>8 of 11 key players</t>
        </is>
      </c>
    </row>
    <row r="20">
      <c r="A20" t="inlineStr">
        <is>
          <t>Tactical Complexity</t>
        </is>
      </c>
      <c r="B20" t="inlineStr">
        <is>
          <t>Low</t>
        </is>
      </c>
      <c r="C20" t="inlineStr">
        <is>
          <t>0.40</t>
        </is>
      </c>
      <c r="D20" t="inlineStr">
        <is>
          <t>10%</t>
        </is>
      </c>
      <c r="E20" t="inlineStr">
        <is>
          <t>4.0</t>
        </is>
      </c>
      <c r="F20" t="inlineStr">
        <is>
          <t>Simple tactical approach</t>
        </is>
      </c>
    </row>
    <row r="21">
      <c r="A21" t="inlineStr">
        <is>
          <t>Physical Intensity</t>
        </is>
      </c>
      <c r="B21" t="inlineStr">
        <is>
          <t>Medium</t>
        </is>
      </c>
      <c r="C21" t="inlineStr">
        <is>
          <t>0.60</t>
        </is>
      </c>
      <c r="D21" t="inlineStr">
        <is>
          <t>5%</t>
        </is>
      </c>
      <c r="E21" t="inlineStr">
        <is>
          <t>3.0</t>
        </is>
      </c>
      <c r="F21" t="inlineStr">
        <is>
          <t>Moderate intensity</t>
        </is>
      </c>
    </row>
    <row r="22">
      <c r="A22" t="inlineStr"/>
      <c r="B22" t="inlineStr"/>
      <c r="C22" t="inlineStr"/>
      <c r="D22" t="inlineStr">
        <is>
          <t>TOTAL:</t>
        </is>
      </c>
      <c r="E22" t="inlineStr">
        <is>
          <t>48.0</t>
        </is>
      </c>
      <c r="F22" t="inlineStr"/>
    </row>
    <row r="23">
      <c r="A23" t="inlineStr"/>
      <c r="B23" t="inlineStr"/>
      <c r="C23" t="inlineStr"/>
      <c r="D23" t="inlineStr">
        <is>
          <t>RATING:</t>
        </is>
      </c>
      <c r="E23" t="inlineStr">
        <is>
          <t>2.4/5</t>
        </is>
      </c>
      <c r="F23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2026-01-27T15:25:07Z</dcterms:created>
  <dcterms:modified xsi:type="dcterms:W3CDTF">2026-01-27T15:25:07Z</dcterms:modified>
</cp:coreProperties>
</file>